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f8514df3d50ad5a/Documents/"/>
    </mc:Choice>
  </mc:AlternateContent>
  <xr:revisionPtr revIDLastSave="37" documentId="8_{F8E28824-0540-4D7E-89A9-55BE18176541}" xr6:coauthVersionLast="47" xr6:coauthVersionMax="47" xr10:uidLastSave="{48AF5B10-87AE-4DC7-B17F-DDF8CCC8C090}"/>
  <bookViews>
    <workbookView xWindow="-110" yWindow="-110" windowWidth="19420" windowHeight="10300" firstSheet="1" activeTab="3" xr2:uid="{00000000-000D-0000-FFFF-FFFF00000000}"/>
  </bookViews>
  <sheets>
    <sheet name="bike_buyers" sheetId="1" r:id="rId1"/>
    <sheet name="Worksheet" sheetId="2" r:id="rId2"/>
    <sheet name="Pivot Table" sheetId="4" r:id="rId3"/>
    <sheet name="Dashboard" sheetId="3" r:id="rId4"/>
  </sheets>
  <definedNames>
    <definedName name="_xlnm._FilterDatabase" localSheetId="0" hidden="1">bike_buyers!$A$1:$M$1001</definedName>
    <definedName name="_xlnm._FilterDatabase" localSheetId="1" hidden="1">Worksheet!$A$1:$N$1001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<sst xmlns="http://schemas.openxmlformats.org/spreadsheetml/2006/main" count="16264" uniqueCount="49">
  <si>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</si>
  <si>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</si>
  <si>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</si>
  <si>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</si>
  <si>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</si>
  <si>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</si>
  <si>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</si>
  <si>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</si>
  <si>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</si>
  <si>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</si>
  <si>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</si>
  <si>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</si>
  <si>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</si>
  <si>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</si>
  <si>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</si>
  <si>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</si>
  <si>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</si>
  <si>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</si>
  <si>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</si>
  <si>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</si>
  <si>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</si>
  <si>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</si>
  <si>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</si>
  <si>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</si>
  <si>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</si>
  <si>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</si>
  <si>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</si>
  <si>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</si>
  <si>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</si>
  <si>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</si>
  <si>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</si>
  <si>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</si>
  <si>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</si>
  <si>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</si>
  <si>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</si>
  <si>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</si>
  <si>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</si>
  <si>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</si>
  <si>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</si>
  <si>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</si>
  <si>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</si>
  <si>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</si>
  <si>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</si>
  <si>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</si>
  <si>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</si>
  <si>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</si>
  <si>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</si>
  <si>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Old</t>
  </si>
  <si>
    <t>Bike Sales Dashboard(Excel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</si>
</sst>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1DB9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Table!PivotTable1</c:name>
    <c:fmtId val="0"/>
  </c:pivotSource>
  <c:chart>
    <c:title>
      <c:tx>
        <c:rich>
          <a:bodyPr/>
          <a:lstStyle/>
          <a:p>
            <a:pPr>
              <a:defRPr/>
            </a:pPr>
            <a:r>
              <a:rPr lang="en-US" sz="1600" b="0"/>
              <a:t>Avg</a:t>
            </a:r>
            <a:r>
              <a:rPr lang="en-US" sz="1600" b="0" baseline="0"/>
              <a:t> Income Per Purchase</a:t>
            </a:r>
            <a:endParaRPr lang="en-US" sz="1600" b="0"/>
          </a:p>
        </c:rich>
      </c:tx>
      <c:layout>
        <c:manualLayout>
          <c:xMode val="edge"/>
          <c:yMode val="edge"/>
          <c:x val="0.24825699912510937"/>
          <c:y val="8.6942257217847763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97500</c:v>
                </c:pt>
                <c:pt idx="1">
                  <c:v>93333.333333333328</c:v>
                </c:pt>
              </c:numCache>
            </c:numRef>
          </c:val>
          <c:extLst>
            <c:ext xmlns:c16="http://schemas.microsoft.com/office/drawing/2014/chart" uri="{C3380CC4-5D6E-409C-BE32-E72D297353CC}">
              <c16:uniqueId val="{00000000-47A5-4E94-A6AB-A85B62579BF2}"/>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120000</c:v>
                </c:pt>
                <c:pt idx="1">
                  <c:v>90000</c:v>
                </c:pt>
              </c:numCache>
            </c:numRef>
          </c:val>
          <c:extLst>
            <c:ext xmlns:c16="http://schemas.microsoft.com/office/drawing/2014/chart" uri="{C3380CC4-5D6E-409C-BE32-E72D297353CC}">
              <c16:uniqueId val="{00000000-0468-4689-9504-D1D1F02359B3}"/>
            </c:ext>
          </c:extLst>
        </c:ser>
        <c:dLbls>
          <c:showLegendKey val="0"/>
          <c:showVal val="0"/>
          <c:showCatName val="0"/>
          <c:showSerName val="0"/>
          <c:showPercent val="0"/>
          <c:showBubbleSize val="0"/>
        </c:dLbls>
        <c:gapWidth val="150"/>
        <c:shape val="box"/>
        <c:axId val="204760960"/>
        <c:axId val="204762496"/>
        <c:axId val="0"/>
      </c:bar3DChart>
      <c:catAx>
        <c:axId val="204760960"/>
        <c:scaling>
          <c:orientation val="minMax"/>
        </c:scaling>
        <c:delete val="0"/>
        <c:axPos val="b"/>
        <c:numFmt formatCode="General" sourceLinked="0"/>
        <c:majorTickMark val="none"/>
        <c:minorTickMark val="none"/>
        <c:tickLblPos val="nextTo"/>
        <c:crossAx val="204762496"/>
        <c:crosses val="autoZero"/>
        <c:auto val="1"/>
        <c:lblAlgn val="ctr"/>
        <c:lblOffset val="100"/>
        <c:noMultiLvlLbl val="0"/>
      </c:catAx>
      <c:valAx>
        <c:axId val="204762496"/>
        <c:scaling>
          <c:orientation val="minMax"/>
        </c:scaling>
        <c:delete val="0"/>
        <c:axPos val="l"/>
        <c:majorGridlines/>
        <c:numFmt formatCode="_(* #,##0_);_(* \(#,##0\);_(* &quot;-&quot;??_);_(@_)" sourceLinked="1"/>
        <c:majorTickMark val="none"/>
        <c:minorTickMark val="none"/>
        <c:tickLblPos val="nextTo"/>
        <c:crossAx val="2047609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Table!PivotTable2</c:name>
    <c:fmtId val="0"/>
  </c:pivotSource>
  <c:chart>
    <c:title>
      <c:tx>
        <c:rich>
          <a:bodyPr/>
          <a:lstStyle/>
          <a:p>
            <a:pPr>
              <a:defRPr/>
            </a:pPr>
            <a:r>
              <a:rPr lang="en-US" sz="1600" b="0"/>
              <a:t>Customer</a:t>
            </a:r>
            <a:r>
              <a:rPr lang="en-US" sz="1600" b="0" baseline="0"/>
              <a:t> Cummute</a:t>
            </a:r>
            <a:endParaRPr lang="en-US" sz="1600" b="0"/>
          </a:p>
        </c:rich>
      </c:tx>
      <c:layout>
        <c:manualLayout>
          <c:xMode val="edge"/>
          <c:yMode val="edge"/>
          <c:x val="0.30931255468066493"/>
          <c:y val="5.4534849810440364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marker>
            <c:symbol val="none"/>
          </c:marker>
          <c:cat>
            <c:strRef>
              <c:f>'Pivot Table'!$A$24:$A$27</c:f>
              <c:strCache>
                <c:ptCount val="3"/>
                <c:pt idx="0">
                  <c:v>2-5 Miles</c:v>
                </c:pt>
                <c:pt idx="1">
                  <c:v>5-10 Miles</c:v>
                </c:pt>
                <c:pt idx="2">
                  <c:v>10+ Miles</c:v>
                </c:pt>
              </c:strCache>
            </c:strRef>
          </c:cat>
          <c:val>
            <c:numRef>
              <c:f>'Pivot Table'!$B$24:$B$27</c:f>
              <c:numCache>
                <c:formatCode>General</c:formatCode>
                <c:ptCount val="3"/>
                <c:pt idx="0">
                  <c:v>3</c:v>
                </c:pt>
                <c:pt idx="1">
                  <c:v>1</c:v>
                </c:pt>
                <c:pt idx="2">
                  <c:v>3</c:v>
                </c:pt>
              </c:numCache>
            </c:numRef>
          </c:val>
          <c:smooth val="0"/>
          <c:extLst>
            <c:ext xmlns:c16="http://schemas.microsoft.com/office/drawing/2014/chart" uri="{C3380CC4-5D6E-409C-BE32-E72D297353CC}">
              <c16:uniqueId val="{00000000-A26E-417B-B0B5-E8D6704B9B5B}"/>
            </c:ext>
          </c:extLst>
        </c:ser>
        <c:ser>
          <c:idx val="1"/>
          <c:order val="1"/>
          <c:tx>
            <c:strRef>
              <c:f>'Pivot Table'!$C$22:$C$23</c:f>
              <c:strCache>
                <c:ptCount val="1"/>
                <c:pt idx="0">
                  <c:v>Yes</c:v>
                </c:pt>
              </c:strCache>
            </c:strRef>
          </c:tx>
          <c:marker>
            <c:symbol val="none"/>
          </c:marker>
          <c:cat>
            <c:strRef>
              <c:f>'Pivot Table'!$A$24:$A$27</c:f>
              <c:strCache>
                <c:ptCount val="3"/>
                <c:pt idx="0">
                  <c:v>2-5 Miles</c:v>
                </c:pt>
                <c:pt idx="1">
                  <c:v>5-10 Miles</c:v>
                </c:pt>
                <c:pt idx="2">
                  <c:v>10+ Miles</c:v>
                </c:pt>
              </c:strCache>
            </c:strRef>
          </c:cat>
          <c:val>
            <c:numRef>
              <c:f>'Pivot Table'!$C$24:$C$27</c:f>
              <c:numCache>
                <c:formatCode>General</c:formatCode>
                <c:ptCount val="3"/>
                <c:pt idx="1">
                  <c:v>2</c:v>
                </c:pt>
                <c:pt idx="2">
                  <c:v>1</c:v>
                </c:pt>
              </c:numCache>
            </c:numRef>
          </c:val>
          <c:smooth val="0"/>
          <c:extLst>
            <c:ext xmlns:c16="http://schemas.microsoft.com/office/drawing/2014/chart" uri="{C3380CC4-5D6E-409C-BE32-E72D297353CC}">
              <c16:uniqueId val="{00000000-98D7-4BAE-863A-409032A2D5BC}"/>
            </c:ext>
          </c:extLst>
        </c:ser>
        <c:dLbls>
          <c:showLegendKey val="0"/>
          <c:showVal val="0"/>
          <c:showCatName val="0"/>
          <c:showSerName val="0"/>
          <c:showPercent val="0"/>
          <c:showBubbleSize val="0"/>
        </c:dLbls>
        <c:smooth val="0"/>
        <c:axId val="167001088"/>
        <c:axId val="167039744"/>
      </c:lineChart>
      <c:catAx>
        <c:axId val="167001088"/>
        <c:scaling>
          <c:orientation val="minMax"/>
        </c:scaling>
        <c:delete val="0"/>
        <c:axPos val="b"/>
        <c:numFmt formatCode="General" sourceLinked="0"/>
        <c:majorTickMark val="none"/>
        <c:minorTickMark val="none"/>
        <c:tickLblPos val="nextTo"/>
        <c:crossAx val="167039744"/>
        <c:crosses val="autoZero"/>
        <c:auto val="1"/>
        <c:lblAlgn val="ctr"/>
        <c:lblOffset val="100"/>
        <c:noMultiLvlLbl val="0"/>
      </c:catAx>
      <c:valAx>
        <c:axId val="167039744"/>
        <c:scaling>
          <c:orientation val="minMax"/>
        </c:scaling>
        <c:delete val="0"/>
        <c:axPos val="l"/>
        <c:majorGridlines/>
        <c:numFmt formatCode="General" sourceLinked="1"/>
        <c:majorTickMark val="none"/>
        <c:minorTickMark val="none"/>
        <c:tickLblPos val="nextTo"/>
        <c:crossAx val="1670010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Table!PivotTable3</c:name>
    <c:fmtId val="0"/>
  </c:pivotSource>
  <c:chart>
    <c:title>
      <c:tx>
        <c:rich>
          <a:bodyPr/>
          <a:lstStyle/>
          <a:p>
            <a:pPr>
              <a:defRPr/>
            </a:pPr>
            <a:r>
              <a:rPr lang="en-US" sz="1600" b="0"/>
              <a:t>Bike</a:t>
            </a:r>
            <a:r>
              <a:rPr lang="en-US" sz="1600" b="0" baseline="0"/>
              <a:t> Purchase Per Age Group</a:t>
            </a:r>
            <a:endParaRPr lang="en-US" sz="1600" b="0"/>
          </a:p>
        </c:rich>
      </c:tx>
      <c:layout>
        <c:manualLayout>
          <c:xMode val="edge"/>
          <c:yMode val="edge"/>
          <c:x val="0.26195822397200352"/>
          <c:y val="0.11009040536599592"/>
        </c:manualLayout>
      </c:layout>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cat>
            <c:strRef>
              <c:f>'Pivot Table'!$A$39:$A$41</c:f>
              <c:strCache>
                <c:ptCount val="2"/>
                <c:pt idx="0">
                  <c:v>Middle Age</c:v>
                </c:pt>
                <c:pt idx="1">
                  <c:v>Old</c:v>
                </c:pt>
              </c:strCache>
            </c:strRef>
          </c:cat>
          <c:val>
            <c:numRef>
              <c:f>'Pivot Table'!$B$39:$B$41</c:f>
              <c:numCache>
                <c:formatCode>General</c:formatCode>
                <c:ptCount val="2"/>
                <c:pt idx="1">
                  <c:v>7</c:v>
                </c:pt>
              </c:numCache>
            </c:numRef>
          </c:val>
          <c:smooth val="0"/>
          <c:extLst>
            <c:ext xmlns:c16="http://schemas.microsoft.com/office/drawing/2014/chart" uri="{C3380CC4-5D6E-409C-BE32-E72D297353CC}">
              <c16:uniqueId val="{00000000-7860-4CEE-8CE5-AD255E33913E}"/>
            </c:ext>
          </c:extLst>
        </c:ser>
        <c:ser>
          <c:idx val="1"/>
          <c:order val="1"/>
          <c:tx>
            <c:strRef>
              <c:f>'Pivot Table'!$C$37:$C$38</c:f>
              <c:strCache>
                <c:ptCount val="1"/>
                <c:pt idx="0">
                  <c:v>Yes</c:v>
                </c:pt>
              </c:strCache>
            </c:strRef>
          </c:tx>
          <c:cat>
            <c:strRef>
              <c:f>'Pivot Table'!$A$39:$A$41</c:f>
              <c:strCache>
                <c:ptCount val="2"/>
                <c:pt idx="0">
                  <c:v>Middle Age</c:v>
                </c:pt>
                <c:pt idx="1">
                  <c:v>Old</c:v>
                </c:pt>
              </c:strCache>
            </c:strRef>
          </c:cat>
          <c:val>
            <c:numRef>
              <c:f>'Pivot Table'!$C$39:$C$41</c:f>
              <c:numCache>
                <c:formatCode>General</c:formatCode>
                <c:ptCount val="2"/>
                <c:pt idx="0">
                  <c:v>1</c:v>
                </c:pt>
                <c:pt idx="1">
                  <c:v>2</c:v>
                </c:pt>
              </c:numCache>
            </c:numRef>
          </c:val>
          <c:smooth val="0"/>
          <c:extLst>
            <c:ext xmlns:c16="http://schemas.microsoft.com/office/drawing/2014/chart" uri="{C3380CC4-5D6E-409C-BE32-E72D297353CC}">
              <c16:uniqueId val="{00000000-BABE-4AB1-A43E-5EA3D50901C8}"/>
            </c:ext>
          </c:extLst>
        </c:ser>
        <c:dLbls>
          <c:showLegendKey val="0"/>
          <c:showVal val="0"/>
          <c:showCatName val="0"/>
          <c:showSerName val="0"/>
          <c:showPercent val="0"/>
          <c:showBubbleSize val="0"/>
        </c:dLbls>
        <c:marker val="1"/>
        <c:smooth val="0"/>
        <c:axId val="226526336"/>
        <c:axId val="226527872"/>
      </c:lineChart>
      <c:catAx>
        <c:axId val="226526336"/>
        <c:scaling>
          <c:orientation val="minMax"/>
        </c:scaling>
        <c:delete val="0"/>
        <c:axPos val="b"/>
        <c:numFmt formatCode="General" sourceLinked="0"/>
        <c:majorTickMark val="none"/>
        <c:minorTickMark val="none"/>
        <c:tickLblPos val="nextTo"/>
        <c:crossAx val="226527872"/>
        <c:crosses val="autoZero"/>
        <c:auto val="1"/>
        <c:lblAlgn val="ctr"/>
        <c:lblOffset val="100"/>
        <c:noMultiLvlLbl val="0"/>
      </c:catAx>
      <c:valAx>
        <c:axId val="226527872"/>
        <c:scaling>
          <c:orientation val="minMax"/>
        </c:scaling>
        <c:delete val="0"/>
        <c:axPos val="l"/>
        <c:majorGridlines/>
        <c:numFmt formatCode="General" sourceLinked="1"/>
        <c:majorTickMark val="none"/>
        <c:minorTickMark val="none"/>
        <c:tickLblPos val="nextTo"/>
        <c:crossAx val="2265263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Table!PivotTable1</c:name>
    <c:fmtId val="2"/>
  </c:pivotSource>
  <c:chart>
    <c:title>
      <c:tx>
        <c:rich>
          <a:bodyPr/>
          <a:lstStyle/>
          <a:p>
            <a:pPr>
              <a:defRPr/>
            </a:pPr>
            <a:r>
              <a:rPr lang="en-US" sz="1600" b="0"/>
              <a:t>Avg</a:t>
            </a:r>
            <a:r>
              <a:rPr lang="en-US" sz="1600" b="0" baseline="0"/>
              <a:t> Income Per Purchase</a:t>
            </a:r>
            <a:endParaRPr lang="en-US" sz="1600" b="0"/>
          </a:p>
        </c:rich>
      </c:tx>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97500</c:v>
                </c:pt>
                <c:pt idx="1">
                  <c:v>93333.333333333328</c:v>
                </c:pt>
              </c:numCache>
            </c:numRef>
          </c:val>
          <c:extLst>
            <c:ext xmlns:c16="http://schemas.microsoft.com/office/drawing/2014/chart" uri="{C3380CC4-5D6E-409C-BE32-E72D297353CC}">
              <c16:uniqueId val="{00000000-9156-4859-AA50-EC36409F2D4A}"/>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120000</c:v>
                </c:pt>
                <c:pt idx="1">
                  <c:v>90000</c:v>
                </c:pt>
              </c:numCache>
            </c:numRef>
          </c:val>
          <c:extLst>
            <c:ext xmlns:c16="http://schemas.microsoft.com/office/drawing/2014/chart" uri="{C3380CC4-5D6E-409C-BE32-E72D297353CC}">
              <c16:uniqueId val="{00000001-4464-4B21-A752-0D37343E30D5}"/>
            </c:ext>
          </c:extLst>
        </c:ser>
        <c:dLbls>
          <c:showLegendKey val="0"/>
          <c:showVal val="0"/>
          <c:showCatName val="0"/>
          <c:showSerName val="0"/>
          <c:showPercent val="0"/>
          <c:showBubbleSize val="0"/>
        </c:dLbls>
        <c:gapWidth val="150"/>
        <c:axId val="213077376"/>
        <c:axId val="213498880"/>
      </c:barChart>
      <c:catAx>
        <c:axId val="213077376"/>
        <c:scaling>
          <c:orientation val="minMax"/>
        </c:scaling>
        <c:delete val="0"/>
        <c:axPos val="b"/>
        <c:numFmt formatCode="General" sourceLinked="0"/>
        <c:majorTickMark val="none"/>
        <c:minorTickMark val="none"/>
        <c:tickLblPos val="nextTo"/>
        <c:crossAx val="213498880"/>
        <c:crosses val="autoZero"/>
        <c:auto val="1"/>
        <c:lblAlgn val="ctr"/>
        <c:lblOffset val="100"/>
        <c:noMultiLvlLbl val="0"/>
      </c:catAx>
      <c:valAx>
        <c:axId val="213498880"/>
        <c:scaling>
          <c:orientation val="minMax"/>
        </c:scaling>
        <c:delete val="0"/>
        <c:axPos val="l"/>
        <c:majorGridlines/>
        <c:title>
          <c:tx>
            <c:rich>
              <a:bodyPr/>
              <a:lstStyle/>
              <a:p>
                <a:pPr>
                  <a:defRPr/>
                </a:pPr>
                <a:r>
                  <a:rPr lang="en-US" sz="1100" b="0"/>
                  <a:t>Income</a:t>
                </a:r>
              </a:p>
            </c:rich>
          </c:tx>
          <c:overlay val="0"/>
        </c:title>
        <c:numFmt formatCode="_(* #,##0_);_(* \(#,##0\);_(* &quot;-&quot;??_);_(@_)" sourceLinked="1"/>
        <c:majorTickMark val="none"/>
        <c:minorTickMark val="none"/>
        <c:tickLblPos val="nextTo"/>
        <c:crossAx val="213077376"/>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Table!PivotTable2</c:name>
    <c:fmtId val="2"/>
  </c:pivotSource>
  <c:chart>
    <c:title>
      <c:tx>
        <c:rich>
          <a:bodyPr/>
          <a:lstStyle/>
          <a:p>
            <a:pPr>
              <a:defRPr/>
            </a:pPr>
            <a:r>
              <a:rPr lang="en-US" sz="1600" b="0"/>
              <a:t>Customer Cummute</a:t>
            </a:r>
          </a:p>
        </c:rich>
      </c:tx>
      <c:overlay val="0"/>
    </c:title>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cat>
            <c:strRef>
              <c:f>'Pivot Table'!$A$24:$A$27</c:f>
              <c:strCache>
                <c:ptCount val="3"/>
                <c:pt idx="0">
                  <c:v>2-5 Miles</c:v>
                </c:pt>
                <c:pt idx="1">
                  <c:v>5-10 Miles</c:v>
                </c:pt>
                <c:pt idx="2">
                  <c:v>10+ Miles</c:v>
                </c:pt>
              </c:strCache>
            </c:strRef>
          </c:cat>
          <c:val>
            <c:numRef>
              <c:f>'Pivot Table'!$B$24:$B$27</c:f>
              <c:numCache>
                <c:formatCode>General</c:formatCode>
                <c:ptCount val="3"/>
                <c:pt idx="0">
                  <c:v>3</c:v>
                </c:pt>
                <c:pt idx="1">
                  <c:v>1</c:v>
                </c:pt>
                <c:pt idx="2">
                  <c:v>3</c:v>
                </c:pt>
              </c:numCache>
            </c:numRef>
          </c:val>
          <c:smooth val="0"/>
          <c:extLst>
            <c:ext xmlns:c16="http://schemas.microsoft.com/office/drawing/2014/chart" uri="{C3380CC4-5D6E-409C-BE32-E72D297353CC}">
              <c16:uniqueId val="{00000000-F521-402A-AB26-B30AA6D5F509}"/>
            </c:ext>
          </c:extLst>
        </c:ser>
        <c:ser>
          <c:idx val="1"/>
          <c:order val="1"/>
          <c:tx>
            <c:strRef>
              <c:f>'Pivot Table'!$C$22:$C$23</c:f>
              <c:strCache>
                <c:ptCount val="1"/>
                <c:pt idx="0">
                  <c:v>Yes</c:v>
                </c:pt>
              </c:strCache>
            </c:strRef>
          </c:tx>
          <c:cat>
            <c:strRef>
              <c:f>'Pivot Table'!$A$24:$A$27</c:f>
              <c:strCache>
                <c:ptCount val="3"/>
                <c:pt idx="0">
                  <c:v>2-5 Miles</c:v>
                </c:pt>
                <c:pt idx="1">
                  <c:v>5-10 Miles</c:v>
                </c:pt>
                <c:pt idx="2">
                  <c:v>10+ Miles</c:v>
                </c:pt>
              </c:strCache>
            </c:strRef>
          </c:cat>
          <c:val>
            <c:numRef>
              <c:f>'Pivot Table'!$C$24:$C$27</c:f>
              <c:numCache>
                <c:formatCode>General</c:formatCode>
                <c:ptCount val="3"/>
                <c:pt idx="1">
                  <c:v>2</c:v>
                </c:pt>
                <c:pt idx="2">
                  <c:v>1</c:v>
                </c:pt>
              </c:numCache>
            </c:numRef>
          </c:val>
          <c:smooth val="0"/>
          <c:extLst>
            <c:ext xmlns:c16="http://schemas.microsoft.com/office/drawing/2014/chart" uri="{C3380CC4-5D6E-409C-BE32-E72D297353CC}">
              <c16:uniqueId val="{00000001-4BD7-4320-8748-F522A99ABA1E}"/>
            </c:ext>
          </c:extLst>
        </c:ser>
        <c:dLbls>
          <c:showLegendKey val="0"/>
          <c:showVal val="0"/>
          <c:showCatName val="0"/>
          <c:showSerName val="0"/>
          <c:showPercent val="0"/>
          <c:showBubbleSize val="0"/>
        </c:dLbls>
        <c:marker val="1"/>
        <c:smooth val="0"/>
        <c:axId val="212381696"/>
        <c:axId val="212383232"/>
      </c:lineChart>
      <c:catAx>
        <c:axId val="212381696"/>
        <c:scaling>
          <c:orientation val="minMax"/>
        </c:scaling>
        <c:delete val="0"/>
        <c:axPos val="b"/>
        <c:numFmt formatCode="General" sourceLinked="0"/>
        <c:majorTickMark val="none"/>
        <c:minorTickMark val="none"/>
        <c:tickLblPos val="nextTo"/>
        <c:crossAx val="212383232"/>
        <c:crosses val="autoZero"/>
        <c:auto val="1"/>
        <c:lblAlgn val="ctr"/>
        <c:lblOffset val="100"/>
        <c:noMultiLvlLbl val="0"/>
      </c:catAx>
      <c:valAx>
        <c:axId val="212383232"/>
        <c:scaling>
          <c:orientation val="minMax"/>
        </c:scaling>
        <c:delete val="0"/>
        <c:axPos val="l"/>
        <c:majorGridlines/>
        <c:numFmt formatCode="General" sourceLinked="1"/>
        <c:majorTickMark val="none"/>
        <c:minorTickMark val="none"/>
        <c:tickLblPos val="nextTo"/>
        <c:crossAx val="2123816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Project.xlsx]Pivot Table!PivotTable3</c:name>
    <c:fmtId val="2"/>
  </c:pivotSource>
  <c:chart>
    <c:title>
      <c:tx>
        <c:rich>
          <a:bodyPr/>
          <a:lstStyle/>
          <a:p>
            <a:pPr>
              <a:defRPr/>
            </a:pPr>
            <a:r>
              <a:rPr lang="en-US" sz="1600" b="0"/>
              <a:t>Bike</a:t>
            </a:r>
            <a:r>
              <a:rPr lang="en-US" sz="1600" b="0" baseline="0"/>
              <a:t> Purchase Per Age Group</a:t>
            </a:r>
            <a:endParaRPr lang="en-US" sz="1600" b="0"/>
          </a:p>
        </c:rich>
      </c:tx>
      <c:overlay val="0"/>
    </c:title>
    <c:autoTitleDeleted val="0"/>
    <c:pivotFmts>
      <c:pivotFmt>
        <c:idx val="0"/>
      </c:pivotFmt>
      <c:pivotFmt>
        <c:idx val="1"/>
      </c:pivotFmt>
      <c:pivotFmt>
        <c:idx val="2"/>
      </c:pivotFmt>
      <c:pivotFmt>
        <c:idx val="3"/>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cat>
            <c:strRef>
              <c:f>'Pivot Table'!$A$39:$A$41</c:f>
              <c:strCache>
                <c:ptCount val="2"/>
                <c:pt idx="0">
                  <c:v>Middle Age</c:v>
                </c:pt>
                <c:pt idx="1">
                  <c:v>Old</c:v>
                </c:pt>
              </c:strCache>
            </c:strRef>
          </c:cat>
          <c:val>
            <c:numRef>
              <c:f>'Pivot Table'!$B$39:$B$41</c:f>
              <c:numCache>
                <c:formatCode>General</c:formatCode>
                <c:ptCount val="2"/>
                <c:pt idx="1">
                  <c:v>7</c:v>
                </c:pt>
              </c:numCache>
            </c:numRef>
          </c:val>
          <c:smooth val="0"/>
          <c:extLst>
            <c:ext xmlns:c16="http://schemas.microsoft.com/office/drawing/2014/chart" uri="{C3380CC4-5D6E-409C-BE32-E72D297353CC}">
              <c16:uniqueId val="{00000000-DC97-4434-936C-024D8B80F369}"/>
            </c:ext>
          </c:extLst>
        </c:ser>
        <c:ser>
          <c:idx val="1"/>
          <c:order val="1"/>
          <c:tx>
            <c:strRef>
              <c:f>'Pivot Table'!$C$37:$C$38</c:f>
              <c:strCache>
                <c:ptCount val="1"/>
                <c:pt idx="0">
                  <c:v>Yes</c:v>
                </c:pt>
              </c:strCache>
            </c:strRef>
          </c:tx>
          <c:cat>
            <c:strRef>
              <c:f>'Pivot Table'!$A$39:$A$41</c:f>
              <c:strCache>
                <c:ptCount val="2"/>
                <c:pt idx="0">
                  <c:v>Middle Age</c:v>
                </c:pt>
                <c:pt idx="1">
                  <c:v>Old</c:v>
                </c:pt>
              </c:strCache>
            </c:strRef>
          </c:cat>
          <c:val>
            <c:numRef>
              <c:f>'Pivot Table'!$C$39:$C$41</c:f>
              <c:numCache>
                <c:formatCode>General</c:formatCode>
                <c:ptCount val="2"/>
                <c:pt idx="0">
                  <c:v>1</c:v>
                </c:pt>
                <c:pt idx="1">
                  <c:v>2</c:v>
                </c:pt>
              </c:numCache>
            </c:numRef>
          </c:val>
          <c:smooth val="0"/>
          <c:extLst>
            <c:ext xmlns:c16="http://schemas.microsoft.com/office/drawing/2014/chart" uri="{C3380CC4-5D6E-409C-BE32-E72D297353CC}">
              <c16:uniqueId val="{00000001-F367-47E9-A175-5D1A91439C1A}"/>
            </c:ext>
          </c:extLst>
        </c:ser>
        <c:dLbls>
          <c:showLegendKey val="0"/>
          <c:showVal val="0"/>
          <c:showCatName val="0"/>
          <c:showSerName val="0"/>
          <c:showPercent val="0"/>
          <c:showBubbleSize val="0"/>
        </c:dLbls>
        <c:marker val="1"/>
        <c:smooth val="0"/>
        <c:axId val="212181760"/>
        <c:axId val="212184064"/>
      </c:lineChart>
      <c:catAx>
        <c:axId val="212181760"/>
        <c:scaling>
          <c:orientation val="minMax"/>
        </c:scaling>
        <c:delete val="0"/>
        <c:axPos val="b"/>
        <c:numFmt formatCode="General" sourceLinked="0"/>
        <c:majorTickMark val="none"/>
        <c:minorTickMark val="none"/>
        <c:tickLblPos val="nextTo"/>
        <c:crossAx val="212184064"/>
        <c:crosses val="autoZero"/>
        <c:auto val="1"/>
        <c:lblAlgn val="ctr"/>
        <c:lblOffset val="100"/>
        <c:noMultiLvlLbl val="0"/>
      </c:catAx>
      <c:valAx>
        <c:axId val="212184064"/>
        <c:scaling>
          <c:orientation val="minMax"/>
        </c:scaling>
        <c:delete val="0"/>
        <c:axPos val="l"/>
        <c:majorGridlines/>
        <c:numFmt formatCode="General" sourceLinked="1"/>
        <c:majorTickMark val="none"/>
        <c:minorTickMark val="none"/>
        <c:tickLblPos val="nextTo"/>
        <c:crossAx val="212181760"/>
        <c:crosses val="autoZero"/>
        <c:crossBetween val="between"/>
      </c:valAx>
    </c:plotArea>
    <c:legend>
      <c:legendPos val="r"/>
      <c:layout>
        <c:manualLayout>
          <c:xMode val="edge"/>
          <c:yMode val="edge"/>
          <c:x val="0.75531774894941417"/>
          <c:y val="0.49288980726857257"/>
          <c:w val="0.24468222663375588"/>
          <c:h val="0.28771432299673244"/>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28575</xdr:colOff>
      <xdr:row>1</xdr:row>
      <xdr:rowOff>3175</xdr:rowOff>
    </xdr:from>
    <xdr:to>
      <xdr:col>12</xdr:col>
      <xdr:colOff>333375</xdr:colOff>
      <xdr:row>15</xdr:row>
      <xdr:rowOff>168275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xdr:colOff>
      <xdr:row>17</xdr:row>
      <xdr:rowOff>130175</xdr:rowOff>
    </xdr:from>
    <xdr:to>
      <xdr:col>12</xdr:col>
      <xdr:colOff>327025</xdr:colOff>
      <xdr:row>32</xdr:row>
      <xdr:rowOff>111125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212725</xdr:colOff>
      <xdr:row>33</xdr:row>
      <xdr:rowOff>142875</xdr:rowOff>
    </xdr:from>
    <xdr:to>
      <xdr:col>12</xdr:col>
      <xdr:colOff>517525</xdr:colOff>
      <xdr:row>48</xdr:row>
      <xdr:rowOff>123825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60398</xdr:colOff>
      <xdr:row>4</xdr:row>
      <xdr:rowOff>51210</xdr:rowOff>
    </xdr:from>
    <xdr:to>
      <xdr:col>10</xdr:col>
      <xdr:colOff>413488</xdr:colOff>
      <xdr:row>16</xdr:row>
      <xdr:rowOff>95989</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51687</xdr:colOff>
      <xdr:row>16</xdr:row>
      <xdr:rowOff>141322</xdr:rowOff>
    </xdr:from>
    <xdr:to>
      <xdr:col>16</xdr:col>
      <xdr:colOff>571500</xdr:colOff>
      <xdr:row>29</xdr:row>
      <xdr:rowOff>145142</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428256</xdr:colOff>
      <xdr:row>4</xdr:row>
      <xdr:rowOff>51210</xdr:rowOff>
    </xdr:from>
    <xdr:to>
      <xdr:col>16</xdr:col>
      <xdr:colOff>589739</xdr:colOff>
      <xdr:row>16</xdr:row>
      <xdr:rowOff>66454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154235</xdr:colOff>
      <xdr:row>4</xdr:row>
      <xdr:rowOff>50905</xdr:rowOff>
    </xdr:from>
    <xdr:to>
      <xdr:col>3</xdr:col>
      <xdr:colOff>583967</xdr:colOff>
      <xdr:row>10</xdr:row>
      <xdr:rowOff>32152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4235" y="790399"/>
              <a:ext cx="2262390" cy="109048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186787</xdr:colOff>
      <xdr:row>10</xdr:row>
      <xdr:rowOff>160760</xdr:rowOff>
    </xdr:from>
    <xdr:to>
      <xdr:col>3</xdr:col>
      <xdr:colOff>577238</xdr:colOff>
      <xdr:row>21</xdr:row>
      <xdr:rowOff>60565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86787" y="2009494"/>
              <a:ext cx="2223109" cy="193341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174402</xdr:colOff>
      <xdr:row>21</xdr:row>
      <xdr:rowOff>167998</xdr:rowOff>
    </xdr:from>
    <xdr:to>
      <xdr:col>3</xdr:col>
      <xdr:colOff>553778</xdr:colOff>
      <xdr:row>28</xdr:row>
      <xdr:rowOff>175528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402" y="4050340"/>
              <a:ext cx="2212034" cy="13016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refreshedDate="45298.673957523148" createdVersion="4" refreshedVersion="4" minRefreshableVersion="3" recordCount="1000" xr:uid="{00000000-000A-0000-FFFF-FFFF15000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1"/>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2"/>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1"/>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2"/>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1"/>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2"/>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1"/>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2"/>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2"/>
    <x v="1"/>
  </r>
  <r>
    <n v="25553"/>
    <x v="0"/>
    <x v="1"/>
    <n v="30000"/>
    <n v="1"/>
    <s v="Bachelors"/>
    <x v="1"/>
    <s v="Yes"/>
    <n v="0"/>
    <x v="0"/>
    <x v="0"/>
    <n v="65"/>
    <x v="1"/>
    <x v="1"/>
  </r>
  <r>
    <n v="27951"/>
    <x v="1"/>
    <x v="1"/>
    <n v="80000"/>
    <n v="4"/>
    <s v="Partial College"/>
    <x v="2"/>
    <s v="No"/>
    <n v="2"/>
    <x v="1"/>
    <x v="0"/>
    <n v="54"/>
    <x v="1"/>
    <x v="1"/>
  </r>
  <r>
    <n v="25026"/>
    <x v="0"/>
    <x v="1"/>
    <n v="20000"/>
    <n v="2"/>
    <s v="Partial High School"/>
    <x v="1"/>
    <s v="Yes"/>
    <n v="3"/>
    <x v="2"/>
    <x v="1"/>
    <n v="54"/>
    <x v="1"/>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2"/>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1"/>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1"/>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1"/>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2"/>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1"/>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1"/>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1"/>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1"/>
    <x v="1"/>
  </r>
  <r>
    <n v="25792"/>
    <x v="1"/>
    <x v="0"/>
    <n v="110000"/>
    <n v="3"/>
    <s v="Bachelors"/>
    <x v="4"/>
    <s v="Yes"/>
    <n v="4"/>
    <x v="4"/>
    <x v="0"/>
    <n v="53"/>
    <x v="1"/>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1"/>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2"/>
    <x v="0"/>
  </r>
  <r>
    <n v="15019"/>
    <x v="1"/>
    <x v="0"/>
    <n v="30000"/>
    <n v="3"/>
    <s v="High School"/>
    <x v="0"/>
    <s v="Yes"/>
    <n v="2"/>
    <x v="2"/>
    <x v="1"/>
    <n v="55"/>
    <x v="1"/>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1"/>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1"/>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2"/>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2"/>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2"/>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2"/>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1"/>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1"/>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2"/>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1"/>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1"/>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2"/>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2"/>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2"/>
    <x v="1"/>
  </r>
  <r>
    <n v="29106"/>
    <x v="1"/>
    <x v="1"/>
    <n v="40000"/>
    <n v="0"/>
    <s v="High School"/>
    <x v="0"/>
    <s v="No"/>
    <n v="2"/>
    <x v="3"/>
    <x v="2"/>
    <n v="31"/>
    <x v="2"/>
    <x v="1"/>
  </r>
  <r>
    <n v="26236"/>
    <x v="0"/>
    <x v="0"/>
    <n v="40000"/>
    <n v="3"/>
    <s v="Partial College"/>
    <x v="1"/>
    <s v="Yes"/>
    <n v="1"/>
    <x v="0"/>
    <x v="2"/>
    <n v="31"/>
    <x v="2"/>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1"/>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1"/>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1"/>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2"/>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1"/>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1"/>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1"/>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2"/>
    <x v="0"/>
  </r>
  <r>
    <n v="23248"/>
    <x v="0"/>
    <x v="0"/>
    <n v="10000"/>
    <n v="2"/>
    <s v="High School"/>
    <x v="3"/>
    <s v="Yes"/>
    <n v="2"/>
    <x v="3"/>
    <x v="2"/>
    <n v="53"/>
    <x v="1"/>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2"/>
    <x v="0"/>
  </r>
  <r>
    <n v="15749"/>
    <x v="1"/>
    <x v="0"/>
    <n v="70000"/>
    <n v="4"/>
    <s v="Bachelors"/>
    <x v="4"/>
    <s v="Yes"/>
    <n v="2"/>
    <x v="4"/>
    <x v="2"/>
    <n v="61"/>
    <x v="1"/>
    <x v="0"/>
  </r>
  <r>
    <n v="25899"/>
    <x v="0"/>
    <x v="0"/>
    <n v="70000"/>
    <n v="2"/>
    <s v="High School"/>
    <x v="2"/>
    <s v="Yes"/>
    <n v="2"/>
    <x v="4"/>
    <x v="2"/>
    <n v="53"/>
    <x v="1"/>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1"/>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1"/>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2"/>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1"/>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2"/>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1"/>
    <x v="1"/>
  </r>
  <r>
    <n v="23197"/>
    <x v="0"/>
    <x v="1"/>
    <n v="50000"/>
    <n v="3"/>
    <s v="Bachelors"/>
    <x v="0"/>
    <s v="Yes"/>
    <n v="2"/>
    <x v="1"/>
    <x v="2"/>
    <n v="40"/>
    <x v="0"/>
    <x v="0"/>
  </r>
  <r>
    <n v="14883"/>
    <x v="0"/>
    <x v="0"/>
    <n v="30000"/>
    <n v="1"/>
    <s v="Bachelors"/>
    <x v="0"/>
    <s v="Yes"/>
    <n v="1"/>
    <x v="2"/>
    <x v="2"/>
    <n v="53"/>
    <x v="1"/>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1"/>
    <x v="1"/>
  </r>
  <r>
    <n v="26728"/>
    <x v="1"/>
    <x v="1"/>
    <n v="70000"/>
    <n v="3"/>
    <s v="Graduate Degree"/>
    <x v="4"/>
    <s v="No"/>
    <n v="2"/>
    <x v="3"/>
    <x v="2"/>
    <n v="53"/>
    <x v="1"/>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1"/>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1"/>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2"/>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1"/>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2"/>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1"/>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22:D27"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items count="6">
        <item h="1" x="1"/>
        <item x="4"/>
        <item h="1" x="3"/>
        <item h="1" x="2"/>
        <item h="1" x="0"/>
        <item t="default"/>
      </items>
    </pivotField>
    <pivotField showAll="0"/>
    <pivotField showAll="0"/>
    <pivotField axis="axisRow" showAll="0">
      <items count="7">
        <item x="0"/>
        <item x="3"/>
        <item x="1"/>
        <item x="2"/>
        <item m="1" x="5"/>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4">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sortType="ascending">
      <items count="3">
        <item x="0"/>
        <item x="1"/>
        <item t="default"/>
      </items>
    </pivotField>
    <pivotField dataField="1" numFmtId="165" showAll="0"/>
    <pivotField showAll="0"/>
    <pivotField showAll="0"/>
    <pivotField showAll="0">
      <items count="6">
        <item h="1" x="1"/>
        <item x="4"/>
        <item h="1" x="3"/>
        <item h="1" x="2"/>
        <item h="1" x="0"/>
        <item t="default"/>
      </items>
    </pivotField>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0" format="3">
      <pivotArea type="data" outline="0" fieldPosition="0">
        <references count="3">
          <reference field="4294967294" count="1" selected="0">
            <x v="0"/>
          </reference>
          <reference field="2" count="1" selected="0">
            <x v="1"/>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7:D41"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items count="6">
        <item h="1" x="1"/>
        <item x="4"/>
        <item h="1" x="3"/>
        <item h="1" x="2"/>
        <item h="1" x="0"/>
        <item t="default"/>
      </items>
    </pivotField>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4" name="PivotTable1"/>
    <pivotTable tabId="4" name="PivotTable2"/>
    <pivotTable tabId="4" name="PivotTable3"/>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0000000-0013-0000-FFFF-FFFF02000000}" sourceName="Occupation">
  <pivotTables>
    <pivotTable tabId="4" name="PivotTable1"/>
    <pivotTable tabId="4" name="PivotTable2"/>
    <pivotTable tabId="4" name="PivotTable3"/>
  </pivotTables>
  <data>
    <tabular pivotCacheId="1">
      <items count="5">
        <i x="1"/>
        <i x="4" s="1"/>
        <i x="3"/>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4" name="PivotTable1"/>
    <pivotTable tabId="4" name="PivotTable2"/>
    <pivotTable tabId="4" name="PivotTable3"/>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style="SlicerStyleOther1" rowHeight="241300"/>
  <slicer name="Occupation" xr10:uid="{00000000-0014-0000-FFFF-FFFF02000000}" cache="Slicer_Occupation" caption="Occupation" rowHeight="241300"/>
  <slicer name="Region" xr10:uid="{00000000-0014-0000-FFFF-FFFF0300000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I1" workbookViewId="0">
      <selection activeCell="E10" sqref="E10"/>
    </sheetView>
  </sheetViews>
  <sheetFormatPr defaultColWidth="11.90625" defaultRowHeight="14.5" x14ac:dyDescent="0.35"/>
  <cols>
    <col min="13" max="13" width="15.453125" customWidth="1"/>
  </cols>
  <sheetData>
    <row r="1" spans="1:13" ht="14.4" x14ac:dyDescent="0.3">
      <c r="A1" t="s">
        <v>0</v>
      </c>
      <c r="B1" t="s">
        <v>1</v>
      </c>
      <c r="C1" t="s">
        <v>2</v>
      </c>
      <c r="D1" t="s">
        <v>3</v>
      </c>
      <c r="E1" t="s">
        <v>4</v>
      </c>
      <c r="F1" t="s">
        <v>5</v>
      </c>
      <c r="G1" t="s">
        <v>6</v>
      </c>
      <c r="H1" t="s">
        <v>7</v>
      </c>
      <c r="I1" t="s">
        <v>8</v>
      </c>
      <c r="J1" t="s">
        <v>9</v>
      </c>
      <c r="K1" t="s">
        <v>10</v>
      </c>
      <c r="L1" t="s">
        <v>11</v>
      </c>
      <c r="M1" t="s">
        <v>12</v>
      </c>
    </row>
    <row r="2" spans="1:13" ht="14.4" x14ac:dyDescent="0.3">
      <c r="A2">
        <v>12496</v>
      </c>
      <c r="B2" t="s">
        <v>34</v>
      </c>
      <c r="C2" t="s">
        <v>33</v>
      </c>
      <c r="D2" s="1">
        <v>40000</v>
      </c>
      <c r="E2">
        <v>1</v>
      </c>
      <c r="F2" t="s">
        <v>13</v>
      </c>
      <c r="G2" t="s">
        <v>14</v>
      </c>
      <c r="H2" t="s">
        <v>15</v>
      </c>
      <c r="I2">
        <v>0</v>
      </c>
      <c r="J2" t="s">
        <v>16</v>
      </c>
      <c r="K2" t="s">
        <v>17</v>
      </c>
      <c r="L2">
        <v>42</v>
      </c>
      <c r="M2" t="s">
        <v>18</v>
      </c>
    </row>
    <row r="3" spans="1:13" ht="14.4" x14ac:dyDescent="0.3">
      <c r="A3">
        <v>24107</v>
      </c>
      <c r="B3" t="s">
        <v>34</v>
      </c>
      <c r="C3" t="s">
        <v>34</v>
      </c>
      <c r="D3" s="1">
        <v>30000</v>
      </c>
      <c r="E3">
        <v>3</v>
      </c>
      <c r="F3" t="s">
        <v>19</v>
      </c>
      <c r="G3" t="s">
        <v>20</v>
      </c>
      <c r="H3" t="s">
        <v>15</v>
      </c>
      <c r="I3">
        <v>1</v>
      </c>
      <c r="J3" t="s">
        <v>16</v>
      </c>
      <c r="K3" t="s">
        <v>17</v>
      </c>
      <c r="L3">
        <v>43</v>
      </c>
      <c r="M3" t="s">
        <v>18</v>
      </c>
    </row>
    <row r="4" spans="1:13" ht="14.4" x14ac:dyDescent="0.3">
      <c r="A4">
        <v>14177</v>
      </c>
      <c r="B4" t="s">
        <v>34</v>
      </c>
      <c r="C4" t="s">
        <v>34</v>
      </c>
      <c r="D4" s="1">
        <v>80000</v>
      </c>
      <c r="E4">
        <v>5</v>
      </c>
      <c r="F4" t="s">
        <v>19</v>
      </c>
      <c r="G4" t="s">
        <v>21</v>
      </c>
      <c r="H4" t="s">
        <v>18</v>
      </c>
      <c r="I4">
        <v>2</v>
      </c>
      <c r="J4" t="s">
        <v>22</v>
      </c>
      <c r="K4" t="s">
        <v>17</v>
      </c>
      <c r="L4">
        <v>60</v>
      </c>
      <c r="M4" t="s">
        <v>18</v>
      </c>
    </row>
    <row r="5" spans="1:13" ht="14.4" x14ac:dyDescent="0.3">
      <c r="A5">
        <v>24381</v>
      </c>
      <c r="B5" t="s">
        <v>35</v>
      </c>
      <c r="C5" t="s">
        <v>34</v>
      </c>
      <c r="D5" s="1">
        <v>70000</v>
      </c>
      <c r="E5">
        <v>0</v>
      </c>
      <c r="F5" t="s">
        <v>13</v>
      </c>
      <c r="G5" t="s">
        <v>21</v>
      </c>
      <c r="H5" t="s">
        <v>15</v>
      </c>
      <c r="I5">
        <v>1</v>
      </c>
      <c r="J5" t="s">
        <v>23</v>
      </c>
      <c r="K5" t="s">
        <v>24</v>
      </c>
      <c r="L5">
        <v>41</v>
      </c>
      <c r="M5" t="s">
        <v>15</v>
      </c>
    </row>
    <row r="6" spans="1:13" ht="14.4" x14ac:dyDescent="0.3">
      <c r="A6">
        <v>25597</v>
      </c>
      <c r="B6" t="s">
        <v>35</v>
      </c>
      <c r="C6" t="s">
        <v>34</v>
      </c>
      <c r="D6" s="1">
        <v>30000</v>
      </c>
      <c r="E6">
        <v>0</v>
      </c>
      <c r="F6" t="s">
        <v>13</v>
      </c>
      <c r="G6" t="s">
        <v>20</v>
      </c>
      <c r="H6" t="s">
        <v>18</v>
      </c>
      <c r="I6">
        <v>0</v>
      </c>
      <c r="J6" t="s">
        <v>16</v>
      </c>
      <c r="K6" t="s">
        <v>17</v>
      </c>
      <c r="L6">
        <v>36</v>
      </c>
      <c r="M6" t="s">
        <v>15</v>
      </c>
    </row>
    <row r="7" spans="1:13" ht="14.4" x14ac:dyDescent="0.3">
      <c r="A7">
        <v>13507</v>
      </c>
      <c r="B7" t="s">
        <v>34</v>
      </c>
      <c r="C7" t="s">
        <v>33</v>
      </c>
      <c r="D7" s="1">
        <v>10000</v>
      </c>
      <c r="E7">
        <v>2</v>
      </c>
      <c r="F7" t="s">
        <v>19</v>
      </c>
      <c r="G7" t="s">
        <v>25</v>
      </c>
      <c r="H7" t="s">
        <v>15</v>
      </c>
      <c r="I7">
        <v>0</v>
      </c>
      <c r="J7" t="s">
        <v>26</v>
      </c>
      <c r="K7" t="s">
        <v>17</v>
      </c>
      <c r="L7">
        <v>50</v>
      </c>
      <c r="M7" t="s">
        <v>18</v>
      </c>
    </row>
    <row r="8" spans="1:13" ht="14.4" x14ac:dyDescent="0.3">
      <c r="A8">
        <v>27974</v>
      </c>
      <c r="B8" t="s">
        <v>35</v>
      </c>
      <c r="C8" t="s">
        <v>34</v>
      </c>
      <c r="D8" s="1">
        <v>160000</v>
      </c>
      <c r="E8">
        <v>2</v>
      </c>
      <c r="F8" t="s">
        <v>27</v>
      </c>
      <c r="G8" t="s">
        <v>28</v>
      </c>
      <c r="H8" t="s">
        <v>15</v>
      </c>
      <c r="I8">
        <v>4</v>
      </c>
      <c r="J8" t="s">
        <v>16</v>
      </c>
      <c r="K8" t="s">
        <v>24</v>
      </c>
      <c r="L8">
        <v>33</v>
      </c>
      <c r="M8" t="s">
        <v>15</v>
      </c>
    </row>
    <row r="9" spans="1:13" ht="14.4" x14ac:dyDescent="0.3">
      <c r="A9">
        <v>19364</v>
      </c>
      <c r="B9" t="s">
        <v>34</v>
      </c>
      <c r="C9" t="s">
        <v>34</v>
      </c>
      <c r="D9" s="1">
        <v>40000</v>
      </c>
      <c r="E9">
        <v>1</v>
      </c>
      <c r="F9" t="s">
        <v>13</v>
      </c>
      <c r="G9" t="s">
        <v>14</v>
      </c>
      <c r="H9" t="s">
        <v>15</v>
      </c>
      <c r="I9">
        <v>0</v>
      </c>
      <c r="J9" t="s">
        <v>16</v>
      </c>
      <c r="K9" t="s">
        <v>17</v>
      </c>
      <c r="L9">
        <v>43</v>
      </c>
      <c r="M9" t="s">
        <v>15</v>
      </c>
    </row>
    <row r="10" spans="1:13" ht="14.4" x14ac:dyDescent="0.3">
      <c r="A10">
        <v>22155</v>
      </c>
      <c r="B10" t="s">
        <v>34</v>
      </c>
      <c r="C10" t="s">
        <v>34</v>
      </c>
      <c r="D10" s="1">
        <v>20000</v>
      </c>
      <c r="E10">
        <v>2</v>
      </c>
      <c r="F10" t="s">
        <v>29</v>
      </c>
      <c r="G10" t="s">
        <v>20</v>
      </c>
      <c r="H10" t="s">
        <v>15</v>
      </c>
      <c r="I10">
        <v>2</v>
      </c>
      <c r="J10" t="s">
        <v>23</v>
      </c>
      <c r="K10" t="s">
        <v>24</v>
      </c>
      <c r="L10">
        <v>58</v>
      </c>
      <c r="M10" t="s">
        <v>18</v>
      </c>
    </row>
    <row r="11" spans="1:13" ht="14.4" x14ac:dyDescent="0.3">
      <c r="A11">
        <v>19280</v>
      </c>
      <c r="B11" t="s">
        <v>34</v>
      </c>
      <c r="C11" t="s">
        <v>34</v>
      </c>
      <c r="D11" s="1">
        <v>120000</v>
      </c>
      <c r="E11">
        <v>2</v>
      </c>
      <c r="F11" t="s">
        <v>19</v>
      </c>
      <c r="G11" t="s">
        <v>25</v>
      </c>
      <c r="H11" t="s">
        <v>15</v>
      </c>
      <c r="I11">
        <v>1</v>
      </c>
      <c r="J11" t="s">
        <v>16</v>
      </c>
      <c r="K11" t="s">
        <v>17</v>
      </c>
      <c r="L11">
        <v>40</v>
      </c>
      <c r="M11" t="s">
        <v>15</v>
      </c>
    </row>
    <row r="12" spans="1:13" ht="14.4" x14ac:dyDescent="0.3">
      <c r="A12">
        <v>22173</v>
      </c>
      <c r="B12" t="s">
        <v>34</v>
      </c>
      <c r="C12" t="s">
        <v>33</v>
      </c>
      <c r="D12" s="1">
        <v>30000</v>
      </c>
      <c r="E12">
        <v>3</v>
      </c>
      <c r="F12" t="s">
        <v>27</v>
      </c>
      <c r="G12" t="s">
        <v>14</v>
      </c>
      <c r="H12" t="s">
        <v>18</v>
      </c>
      <c r="I12">
        <v>2</v>
      </c>
      <c r="J12" t="s">
        <v>26</v>
      </c>
      <c r="K12" t="s">
        <v>24</v>
      </c>
      <c r="L12">
        <v>54</v>
      </c>
      <c r="M12" t="s">
        <v>15</v>
      </c>
    </row>
    <row r="13" spans="1:13" ht="14.4" x14ac:dyDescent="0.3">
      <c r="A13">
        <v>12697</v>
      </c>
      <c r="B13" t="s">
        <v>35</v>
      </c>
      <c r="C13" t="s">
        <v>33</v>
      </c>
      <c r="D13" s="1">
        <v>90000</v>
      </c>
      <c r="E13">
        <v>0</v>
      </c>
      <c r="F13" t="s">
        <v>13</v>
      </c>
      <c r="G13" t="s">
        <v>21</v>
      </c>
      <c r="H13" t="s">
        <v>18</v>
      </c>
      <c r="I13">
        <v>4</v>
      </c>
      <c r="J13" t="s">
        <v>30</v>
      </c>
      <c r="K13" t="s">
        <v>24</v>
      </c>
      <c r="L13">
        <v>36</v>
      </c>
      <c r="M13" t="s">
        <v>18</v>
      </c>
    </row>
    <row r="14" spans="1:13" ht="14.4" x14ac:dyDescent="0.3">
      <c r="A14">
        <v>11434</v>
      </c>
      <c r="B14" t="s">
        <v>34</v>
      </c>
      <c r="C14" t="s">
        <v>34</v>
      </c>
      <c r="D14" s="1">
        <v>170000</v>
      </c>
      <c r="E14">
        <v>5</v>
      </c>
      <c r="F14" t="s">
        <v>19</v>
      </c>
      <c r="G14" t="s">
        <v>21</v>
      </c>
      <c r="H14" t="s">
        <v>15</v>
      </c>
      <c r="I14">
        <v>0</v>
      </c>
      <c r="J14" t="s">
        <v>16</v>
      </c>
      <c r="K14" t="s">
        <v>17</v>
      </c>
      <c r="L14">
        <v>55</v>
      </c>
      <c r="M14" t="s">
        <v>18</v>
      </c>
    </row>
    <row r="15" spans="1:13" ht="14.4" x14ac:dyDescent="0.3">
      <c r="A15">
        <v>25323</v>
      </c>
      <c r="B15" t="s">
        <v>34</v>
      </c>
      <c r="C15" t="s">
        <v>34</v>
      </c>
      <c r="D15" s="1">
        <v>40000</v>
      </c>
      <c r="E15">
        <v>2</v>
      </c>
      <c r="F15" t="s">
        <v>19</v>
      </c>
      <c r="G15" t="s">
        <v>20</v>
      </c>
      <c r="H15" t="s">
        <v>15</v>
      </c>
      <c r="I15">
        <v>1</v>
      </c>
      <c r="J15" t="s">
        <v>26</v>
      </c>
      <c r="K15" t="s">
        <v>17</v>
      </c>
      <c r="L15">
        <v>35</v>
      </c>
      <c r="M15" t="s">
        <v>15</v>
      </c>
    </row>
    <row r="16" spans="1:13" ht="14.4" x14ac:dyDescent="0.3">
      <c r="A16">
        <v>23542</v>
      </c>
      <c r="B16" t="s">
        <v>35</v>
      </c>
      <c r="C16" t="s">
        <v>34</v>
      </c>
      <c r="D16" s="1">
        <v>60000</v>
      </c>
      <c r="E16">
        <v>1</v>
      </c>
      <c r="F16" t="s">
        <v>19</v>
      </c>
      <c r="G16" t="s">
        <v>14</v>
      </c>
      <c r="H16" t="s">
        <v>18</v>
      </c>
      <c r="I16">
        <v>1</v>
      </c>
      <c r="J16" t="s">
        <v>16</v>
      </c>
      <c r="K16" t="s">
        <v>24</v>
      </c>
      <c r="L16">
        <v>45</v>
      </c>
      <c r="M16" t="s">
        <v>15</v>
      </c>
    </row>
    <row r="17" spans="1:13" ht="14.4" x14ac:dyDescent="0.3">
      <c r="A17">
        <v>20870</v>
      </c>
      <c r="B17" t="s">
        <v>35</v>
      </c>
      <c r="C17" t="s">
        <v>33</v>
      </c>
      <c r="D17" s="1">
        <v>10000</v>
      </c>
      <c r="E17">
        <v>2</v>
      </c>
      <c r="F17" t="s">
        <v>27</v>
      </c>
      <c r="G17" t="s">
        <v>25</v>
      </c>
      <c r="H17" t="s">
        <v>15</v>
      </c>
      <c r="I17">
        <v>1</v>
      </c>
      <c r="J17" t="s">
        <v>16</v>
      </c>
      <c r="K17" t="s">
        <v>17</v>
      </c>
      <c r="L17">
        <v>38</v>
      </c>
      <c r="M17" t="s">
        <v>15</v>
      </c>
    </row>
    <row r="18" spans="1:13" ht="14.4" x14ac:dyDescent="0.3">
      <c r="A18">
        <v>23316</v>
      </c>
      <c r="B18" t="s">
        <v>35</v>
      </c>
      <c r="C18" t="s">
        <v>34</v>
      </c>
      <c r="D18" s="1">
        <v>30000</v>
      </c>
      <c r="E18">
        <v>3</v>
      </c>
      <c r="F18" t="s">
        <v>19</v>
      </c>
      <c r="G18" t="s">
        <v>20</v>
      </c>
      <c r="H18" t="s">
        <v>18</v>
      </c>
      <c r="I18">
        <v>2</v>
      </c>
      <c r="J18" t="s">
        <v>26</v>
      </c>
      <c r="K18" t="s">
        <v>24</v>
      </c>
      <c r="L18">
        <v>59</v>
      </c>
      <c r="M18" t="s">
        <v>15</v>
      </c>
    </row>
    <row r="19" spans="1:13" ht="14.4" x14ac:dyDescent="0.3">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H1" workbookViewId="0">
      <selection activeCell="M2" sqref="M2"/>
    </sheetView>
  </sheetViews>
  <sheetFormatPr defaultColWidth="11.90625" defaultRowHeight="14.5" x14ac:dyDescent="0.35"/>
  <cols>
    <col min="2" max="2" width="17.7265625" customWidth="1"/>
    <col min="4" max="4" width="15.08984375" style="3" customWidth="1"/>
    <col min="6" max="6" width="20.36328125" customWidth="1"/>
    <col min="7" max="7" width="17.26953125" customWidth="1"/>
    <col min="8" max="8" width="17.08984375" customWidth="1"/>
    <col min="10" max="10" width="16.363281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IF(L2&gt;52,"Old",IF(L2&gt;=32,"Middle Age",IF(L2&lt;32,"Young", "Invalid")))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IF(L3&gt;52,"Old",IF(L3&gt;=32,"Middle Age",IF(L3&lt;32,"Young", "Invalid")))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Young</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Old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IF(L67&gt;52,"Old",IF(L67&gt;=32,"Middle Age",IF(L67&lt;32,"Young", "Invalid")))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Young</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Young</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Young</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IF(L131&gt;52,"Old",IF(L131&gt;=32,"Middle Age",IF(L131&lt;32,"Young",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ref="M195:M258" si="3">IF(L195&gt;52,"Old",IF(L195&gt;=32,"Middle Age",IF(L195&lt;32,"Young",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Young</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Young</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Young</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IF(L259&gt;52,"Old",IF(L259&gt;=32,"Middle Age",IF(L259&lt;32,"Young", "Invalid")))</f>
        <v>Middle Age</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Old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IF(L323&gt;52,"Old",IF(L323&gt;=32,"Middle Age",IF(L323&lt;32,"Young",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Young</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Young</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Young</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Old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IF(L387&gt;52,"Old",IF(L387&gt;=32,"Middle Age",IF(L387&lt;32,"Young", "Invalid")))</f>
        <v>Middle Age</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Old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Young</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IF(L451&gt;52,"Old",IF(L451&gt;=32,"Middle Age",IF(L451&lt;32,"Young",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Young</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Young</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Young</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Young</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ref="M515:M578" si="8">IF(L515&gt;52,"Old",IF(L515&gt;=32,"Middle Age",IF(L515&lt;32,"Young", "Invalid")))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Old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Young</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Young</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IF(L579&gt;52,"Old",IF(L579&gt;=32,"Middle Age",IF(L579&lt;32,"Young",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ref="M643:M706" si="10">IF(L643&gt;52,"Old",IF(L643&gt;=32,"Middle Age",IF(L643&lt;32,"Young", "Invalid")))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Young</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Young</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Young</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Young</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ref="M707:M770" si="11">IF(L707&gt;52,"Old",IF(L707&gt;=32,"Middle Age",IF(L707&lt;32,"Young", "Invalid")))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Young</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IF(L771&gt;52,"Old",IF(L771&gt;=32,"Middle Age",IF(L771&lt;32,"Young",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Old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Young</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Young</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Old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IF(L835&gt;52,"Old",IF(L835&gt;=32,"Middle Age",IF(L835&lt;32,"Young",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Old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Young</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Young</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IF(L899&gt;52,"Old",IF(L899&gt;=32,"Middle Age",IF(L899&lt;32,"Young", "Invalid")))</f>
        <v>Young</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Old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IF(L963&gt;52,"Old",IF(L963&gt;=32,"Middle Age",IF(L963&lt;32,"Young", "Invalid")))</f>
        <v>Old</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Young</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Young</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Old</v>
      </c>
      <c r="N1001" t="s">
        <v>15</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41"/>
  <sheetViews>
    <sheetView topLeftCell="B22" workbookViewId="0">
      <selection activeCell="N19" sqref="N19"/>
    </sheetView>
  </sheetViews>
  <sheetFormatPr defaultRowHeight="14.5" x14ac:dyDescent="0.35"/>
  <cols>
    <col min="1" max="1" width="21.54296875" bestFit="1" customWidth="1"/>
    <col min="2" max="2" width="15.26953125" customWidth="1"/>
    <col min="3" max="3" width="3.6328125" bestFit="1" customWidth="1"/>
    <col min="4" max="4" width="10.7265625" customWidth="1"/>
  </cols>
  <sheetData>
    <row r="3" spans="1:4" x14ac:dyDescent="0.35">
      <c r="A3" s="4" t="s">
        <v>43</v>
      </c>
      <c r="B3" s="4" t="s">
        <v>44</v>
      </c>
    </row>
    <row r="4" spans="1:4" x14ac:dyDescent="0.35">
      <c r="A4" s="4" t="s">
        <v>41</v>
      </c>
      <c r="B4" t="s">
        <v>18</v>
      </c>
      <c r="C4" t="s">
        <v>15</v>
      </c>
      <c r="D4" t="s">
        <v>42</v>
      </c>
    </row>
    <row r="5" spans="1:4" x14ac:dyDescent="0.35">
      <c r="A5" s="5" t="s">
        <v>38</v>
      </c>
      <c r="B5" s="6">
        <v>97500</v>
      </c>
      <c r="C5" s="6">
        <v>120000</v>
      </c>
      <c r="D5" s="6">
        <v>102000</v>
      </c>
    </row>
    <row r="6" spans="1:4" x14ac:dyDescent="0.35">
      <c r="A6" s="5" t="s">
        <v>39</v>
      </c>
      <c r="B6" s="6">
        <v>93333.333333333328</v>
      </c>
      <c r="C6" s="6">
        <v>90000</v>
      </c>
      <c r="D6" s="6">
        <v>92000</v>
      </c>
    </row>
    <row r="7" spans="1:4" x14ac:dyDescent="0.35">
      <c r="A7" s="5" t="s">
        <v>42</v>
      </c>
      <c r="B7" s="6">
        <v>95714.28571428571</v>
      </c>
      <c r="C7" s="6">
        <v>100000</v>
      </c>
      <c r="D7" s="6">
        <v>97000</v>
      </c>
    </row>
    <row r="22" spans="1:4" x14ac:dyDescent="0.35">
      <c r="A22" s="4" t="s">
        <v>45</v>
      </c>
      <c r="B22" s="4" t="s">
        <v>44</v>
      </c>
    </row>
    <row r="23" spans="1:4" x14ac:dyDescent="0.35">
      <c r="A23" s="4" t="s">
        <v>41</v>
      </c>
      <c r="B23" t="s">
        <v>18</v>
      </c>
      <c r="C23" t="s">
        <v>15</v>
      </c>
      <c r="D23" t="s">
        <v>42</v>
      </c>
    </row>
    <row r="24" spans="1:4" x14ac:dyDescent="0.35">
      <c r="A24" s="5" t="s">
        <v>22</v>
      </c>
      <c r="B24" s="8">
        <v>3</v>
      </c>
      <c r="C24" s="8"/>
      <c r="D24" s="8">
        <v>3</v>
      </c>
    </row>
    <row r="25" spans="1:4" x14ac:dyDescent="0.35">
      <c r="A25" s="5" t="s">
        <v>23</v>
      </c>
      <c r="B25" s="8">
        <v>1</v>
      </c>
      <c r="C25" s="8">
        <v>2</v>
      </c>
      <c r="D25" s="8">
        <v>3</v>
      </c>
    </row>
    <row r="26" spans="1:4" x14ac:dyDescent="0.35">
      <c r="A26" s="5" t="s">
        <v>30</v>
      </c>
      <c r="B26" s="8">
        <v>3</v>
      </c>
      <c r="C26" s="8">
        <v>1</v>
      </c>
      <c r="D26" s="8">
        <v>4</v>
      </c>
    </row>
    <row r="27" spans="1:4" x14ac:dyDescent="0.35">
      <c r="A27" s="5" t="s">
        <v>42</v>
      </c>
      <c r="B27" s="8">
        <v>7</v>
      </c>
      <c r="C27" s="8">
        <v>3</v>
      </c>
      <c r="D27" s="8">
        <v>10</v>
      </c>
    </row>
    <row r="37" spans="1:4" x14ac:dyDescent="0.35">
      <c r="A37" s="4" t="s">
        <v>45</v>
      </c>
      <c r="B37" s="4" t="s">
        <v>44</v>
      </c>
    </row>
    <row r="38" spans="1:4" x14ac:dyDescent="0.35">
      <c r="A38" s="4" t="s">
        <v>41</v>
      </c>
      <c r="B38" t="s">
        <v>18</v>
      </c>
      <c r="C38" t="s">
        <v>15</v>
      </c>
      <c r="D38" t="s">
        <v>42</v>
      </c>
    </row>
    <row r="39" spans="1:4" x14ac:dyDescent="0.35">
      <c r="A39" s="5" t="s">
        <v>46</v>
      </c>
      <c r="B39" s="8"/>
      <c r="C39" s="8">
        <v>1</v>
      </c>
      <c r="D39" s="8">
        <v>1</v>
      </c>
    </row>
    <row r="40" spans="1:4" x14ac:dyDescent="0.35">
      <c r="A40" s="5" t="s">
        <v>47</v>
      </c>
      <c r="B40" s="8">
        <v>7</v>
      </c>
      <c r="C40" s="8">
        <v>2</v>
      </c>
      <c r="D40" s="8">
        <v>9</v>
      </c>
    </row>
    <row r="41" spans="1:4" x14ac:dyDescent="0.35">
      <c r="A41" s="5" t="s">
        <v>42</v>
      </c>
      <c r="B41" s="8">
        <v>7</v>
      </c>
      <c r="C41" s="8">
        <v>3</v>
      </c>
      <c r="D41" s="8">
        <v>10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
  <sheetViews>
    <sheetView showGridLines="0" tabSelected="1" topLeftCell="A2" zoomScale="72" zoomScaleNormal="72" zoomScalePageLayoutView="78" workbookViewId="0">
      <selection activeCell="S17" sqref="S17"/>
    </sheetView>
  </sheetViews>
  <sheetFormatPr defaultRowHeight="14.5" x14ac:dyDescent="0.35"/>
  <sheetData>
    <row r="1" spans="1:17" ht="14.5" customHeight="1" x14ac:dyDescent="0.35">
      <c r="A1" s="7" t="s">
        <v>48</v>
      </c>
      <c r="B1" s="7"/>
      <c r="C1" s="7"/>
      <c r="D1" s="7"/>
      <c r="E1" s="7"/>
      <c r="F1" s="7"/>
      <c r="G1" s="7"/>
      <c r="H1" s="7"/>
      <c r="I1" s="7"/>
      <c r="J1" s="7"/>
      <c r="K1" s="7"/>
      <c r="L1" s="7"/>
      <c r="M1" s="7"/>
      <c r="N1" s="7"/>
      <c r="O1" s="7"/>
      <c r="P1" s="7"/>
      <c r="Q1" s="7"/>
    </row>
    <row r="2" spans="1:17" x14ac:dyDescent="0.35">
      <c r="A2" s="7"/>
      <c r="B2" s="7"/>
      <c r="C2" s="7"/>
      <c r="D2" s="7"/>
      <c r="E2" s="7"/>
      <c r="F2" s="7"/>
      <c r="G2" s="7"/>
      <c r="H2" s="7"/>
      <c r="I2" s="7"/>
      <c r="J2" s="7"/>
      <c r="K2" s="7"/>
      <c r="L2" s="7"/>
      <c r="M2" s="7"/>
      <c r="N2" s="7"/>
      <c r="O2" s="7"/>
      <c r="P2" s="7"/>
      <c r="Q2" s="7"/>
    </row>
    <row r="3" spans="1:17" x14ac:dyDescent="0.35">
      <c r="A3" s="7"/>
      <c r="B3" s="7"/>
      <c r="C3" s="7"/>
      <c r="D3" s="7"/>
      <c r="E3" s="7"/>
      <c r="F3" s="7"/>
      <c r="G3" s="7"/>
      <c r="H3" s="7"/>
      <c r="I3" s="7"/>
      <c r="J3" s="7"/>
      <c r="K3" s="7"/>
      <c r="L3" s="7"/>
      <c r="M3" s="7"/>
      <c r="N3" s="7"/>
      <c r="O3" s="7"/>
      <c r="P3" s="7"/>
      <c r="Q3" s="7"/>
    </row>
    <row r="4" spans="1:17" x14ac:dyDescent="0.35">
      <c r="A4" s="7"/>
      <c r="B4" s="7"/>
      <c r="C4" s="7"/>
      <c r="D4" s="7"/>
      <c r="E4" s="7"/>
      <c r="F4" s="7"/>
      <c r="G4" s="7"/>
      <c r="H4" s="7"/>
      <c r="I4" s="7"/>
      <c r="J4" s="7"/>
      <c r="K4" s="7"/>
      <c r="L4" s="7"/>
      <c r="M4" s="7"/>
      <c r="N4" s="7"/>
      <c r="O4" s="7"/>
      <c r="P4" s="7"/>
      <c r="Q4" s="7"/>
    </row>
  </sheetData>
  <mergeCells count="1">
    <mergeCell ref="A1: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dc:creator>
  <cp:lastModifiedBy>omkar padhye</cp:lastModifiedBy>
  <dcterms:created xsi:type="dcterms:W3CDTF">2022-03-18T02:50:57Z</dcterms:created>
  <dcterms:modified xsi:type="dcterms:W3CDTF">2026-01-05T06:21:52Z</dcterms:modified>
</cp:coreProperties>
</file>